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ster's DSCR Resources\DSCRML 508\Analytical vs numerical solution of Island\"/>
    </mc:Choice>
  </mc:AlternateContent>
  <bookViews>
    <workbookView xWindow="0" yWindow="0" windowWidth="2364" windowHeight="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O6" i="1"/>
  <c r="M5" i="1" a="1"/>
  <c r="J5" i="1"/>
  <c r="S13" i="1" l="1"/>
  <c r="O13" i="1"/>
  <c r="T12" i="1"/>
  <c r="P12" i="1"/>
  <c r="U11" i="1"/>
  <c r="Q11" i="1"/>
  <c r="M11" i="1"/>
  <c r="R10" i="1"/>
  <c r="N10" i="1"/>
  <c r="S9" i="1"/>
  <c r="O9" i="1"/>
  <c r="T8" i="1"/>
  <c r="P8" i="1"/>
  <c r="U7" i="1"/>
  <c r="Q7" i="1"/>
  <c r="M7" i="1"/>
  <c r="R6" i="1"/>
  <c r="N6" i="1"/>
  <c r="S5" i="1"/>
  <c r="O5" i="1"/>
  <c r="R13" i="1"/>
  <c r="N13" i="1"/>
  <c r="S12" i="1"/>
  <c r="O12" i="1"/>
  <c r="T11" i="1"/>
  <c r="P11" i="1"/>
  <c r="U10" i="1"/>
  <c r="Q10" i="1"/>
  <c r="M10" i="1"/>
  <c r="R9" i="1"/>
  <c r="N9" i="1"/>
  <c r="S8" i="1"/>
  <c r="O8" i="1"/>
  <c r="T7" i="1"/>
  <c r="P7" i="1"/>
  <c r="U6" i="1"/>
  <c r="Q6" i="1"/>
  <c r="M6" i="1"/>
  <c r="R5" i="1"/>
  <c r="N5" i="1"/>
  <c r="U13" i="1"/>
  <c r="Q13" i="1"/>
  <c r="M13" i="1"/>
  <c r="R12" i="1"/>
  <c r="N12" i="1"/>
  <c r="S11" i="1"/>
  <c r="O11" i="1"/>
  <c r="T10" i="1"/>
  <c r="P10" i="1"/>
  <c r="U9" i="1"/>
  <c r="Q9" i="1"/>
  <c r="M9" i="1"/>
  <c r="R8" i="1"/>
  <c r="N8" i="1"/>
  <c r="S7" i="1"/>
  <c r="O7" i="1"/>
  <c r="T6" i="1"/>
  <c r="P6" i="1"/>
  <c r="U5" i="1"/>
  <c r="Q5" i="1"/>
  <c r="M5" i="1"/>
  <c r="T13" i="1"/>
  <c r="P13" i="1"/>
  <c r="U12" i="1"/>
  <c r="Q12" i="1"/>
  <c r="M12" i="1"/>
  <c r="R11" i="1"/>
  <c r="N11" i="1"/>
  <c r="S10" i="1"/>
  <c r="O10" i="1"/>
  <c r="T9" i="1"/>
  <c r="P9" i="1"/>
  <c r="U8" i="1"/>
  <c r="Q8" i="1"/>
  <c r="M8" i="1"/>
  <c r="S6" i="1"/>
  <c r="P5" i="1"/>
  <c r="N7" i="1"/>
  <c r="T5" i="1"/>
  <c r="R7" i="1"/>
  <c r="V5" i="1" l="1" a="1"/>
  <c r="V13" i="1" l="1"/>
  <c r="V9" i="1"/>
  <c r="V5" i="1"/>
  <c r="V12" i="1"/>
  <c r="V8" i="1"/>
  <c r="V11" i="1"/>
  <c r="V7" i="1"/>
  <c r="V10" i="1"/>
  <c r="V6" i="1"/>
</calcChain>
</file>

<file path=xl/sharedStrings.xml><?xml version="1.0" encoding="utf-8"?>
<sst xmlns="http://schemas.openxmlformats.org/spreadsheetml/2006/main" count="8" uniqueCount="8">
  <si>
    <t>Coefficient Matrix</t>
  </si>
  <si>
    <t>Right side</t>
  </si>
  <si>
    <t>m</t>
  </si>
  <si>
    <t>Inverse Matrix</t>
  </si>
  <si>
    <t>h</t>
  </si>
  <si>
    <t>R</t>
  </si>
  <si>
    <t>T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</si>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</sst>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 Distribution over Disatance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[1]Sheet4!$L$5:$L$13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</c:numCache>
            </c:numRef>
          </c:xVal>
          <c:yVal>
            <c:numRef>
              <c:f>[1]Sheet4!$V$5:$V$13</c:f>
              <c:numCache>
                <c:formatCode>General</c:formatCode>
                <c:ptCount val="9"/>
                <c:pt idx="0">
                  <c:v>1.1249999999999998</c:v>
                </c:pt>
                <c:pt idx="1">
                  <c:v>2</c:v>
                </c:pt>
                <c:pt idx="2">
                  <c:v>2.625</c:v>
                </c:pt>
                <c:pt idx="3">
                  <c:v>3</c:v>
                </c:pt>
                <c:pt idx="4">
                  <c:v>3.1250000000000004</c:v>
                </c:pt>
                <c:pt idx="5">
                  <c:v>3.0000000000000004</c:v>
                </c:pt>
                <c:pt idx="6">
                  <c:v>2.625</c:v>
                </c:pt>
                <c:pt idx="7">
                  <c:v>2</c:v>
                </c:pt>
                <c:pt idx="8">
                  <c:v>1.125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[1]Sheet4!$V$4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F26-44C1-A23A-56944A69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60367"/>
        <c:axId val="829663279"/>
      </c:scatterChart>
      <c:valAx>
        <c:axId val="8296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centre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63279"/>
        <c:crosses val="autoZero"/>
        <c:crossBetween val="midCat"/>
      </c:valAx>
      <c:valAx>
        <c:axId val="8296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 head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6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13</xdr:row>
      <xdr:rowOff>80010</xdr:rowOff>
    </xdr:from>
    <xdr:to>
      <xdr:col>16</xdr:col>
      <xdr:colOff>297180</xdr:colOff>
      <xdr:row>28</xdr:row>
      <xdr:rowOff>80010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8"/>
  <sheetViews>
    <sheetView tabSelected="1" workbookViewId="0">
      <selection activeCell="C21" sqref="C21"/>
    </sheetView>
  </sheetViews>
  <sheetFormatPr defaultRowHeight="14.4" x14ac:dyDescent="0.3"/>
  <sheetData>
    <row r="4" spans="1:22" x14ac:dyDescent="0.3">
      <c r="A4" s="1" t="s">
        <v>0</v>
      </c>
      <c r="B4" s="1"/>
      <c r="C4" s="1"/>
      <c r="D4" s="1"/>
      <c r="E4" s="1"/>
      <c r="F4" s="1"/>
      <c r="G4" s="1"/>
      <c r="H4" s="1"/>
      <c r="I4" s="1"/>
      <c r="J4" t="s">
        <v>1</v>
      </c>
      <c r="L4" t="s">
        <v>2</v>
      </c>
      <c r="M4" s="1" t="s">
        <v>3</v>
      </c>
      <c r="N4" s="1"/>
      <c r="O4" s="1"/>
      <c r="P4" s="1"/>
      <c r="Q4" s="1"/>
      <c r="R4" s="1"/>
      <c r="S4" s="1"/>
      <c r="T4" s="1"/>
      <c r="U4" s="1"/>
      <c r="V4" t="s">
        <v>4</v>
      </c>
    </row>
    <row r="5" spans="1:22" x14ac:dyDescent="0.3">
      <c r="A5">
        <v>-2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f>-($B$16/$B$17)*($B$18*$B$18)</f>
        <v>-0.25</v>
      </c>
      <c r="L5">
        <v>500</v>
      </c>
      <c r="M5">
        <f t="array" ref="M5:U13">MINVERSE(A5:I13)</f>
        <v>-0.89999999999999991</v>
      </c>
      <c r="N5">
        <v>-0.79999999999999993</v>
      </c>
      <c r="O5">
        <v>-0.69999999999999984</v>
      </c>
      <c r="P5">
        <v>-0.6</v>
      </c>
      <c r="Q5">
        <v>-0.50000000000000011</v>
      </c>
      <c r="R5">
        <v>-0.40000000000000008</v>
      </c>
      <c r="S5">
        <v>-0.3</v>
      </c>
      <c r="T5">
        <v>-0.20000000000000004</v>
      </c>
      <c r="U5">
        <v>-0.10000000000000002</v>
      </c>
      <c r="V5">
        <f t="array" ref="V5:V13">MMULT(M5:U13,J5:J13)</f>
        <v>1.1249999999999998</v>
      </c>
    </row>
    <row r="6" spans="1:22" x14ac:dyDescent="0.3">
      <c r="A6">
        <v>1</v>
      </c>
      <c r="B6">
        <v>-2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ref="J6:J13" si="0">-($B$16/$B$17)*($B$18*$B$18)</f>
        <v>-0.25</v>
      </c>
      <c r="L6">
        <v>1000</v>
      </c>
      <c r="M6">
        <v>-0.79999999999999993</v>
      </c>
      <c r="N6">
        <v>-1.5999999999999999</v>
      </c>
      <c r="O6">
        <v>-1.3999999999999997</v>
      </c>
      <c r="P6">
        <v>-1.2</v>
      </c>
      <c r="Q6">
        <v>-1.0000000000000002</v>
      </c>
      <c r="R6">
        <v>-0.80000000000000016</v>
      </c>
      <c r="S6">
        <v>-0.6</v>
      </c>
      <c r="T6">
        <v>-0.40000000000000008</v>
      </c>
      <c r="U6">
        <v>-0.20000000000000004</v>
      </c>
      <c r="V6">
        <v>2</v>
      </c>
    </row>
    <row r="7" spans="1:22" x14ac:dyDescent="0.3">
      <c r="A7">
        <v>0</v>
      </c>
      <c r="B7">
        <v>1</v>
      </c>
      <c r="C7">
        <v>-2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-0.25</v>
      </c>
      <c r="L7">
        <v>1500</v>
      </c>
      <c r="M7">
        <v>-0.7</v>
      </c>
      <c r="N7">
        <v>-1.4</v>
      </c>
      <c r="O7">
        <v>-2.0999999999999996</v>
      </c>
      <c r="P7">
        <v>-1.8</v>
      </c>
      <c r="Q7">
        <v>-1.5000000000000002</v>
      </c>
      <c r="R7">
        <v>-1.2000000000000002</v>
      </c>
      <c r="S7">
        <v>-0.89999999999999991</v>
      </c>
      <c r="T7">
        <v>-0.60000000000000009</v>
      </c>
      <c r="U7">
        <v>-0.30000000000000004</v>
      </c>
      <c r="V7">
        <v>2.625</v>
      </c>
    </row>
    <row r="8" spans="1:22" x14ac:dyDescent="0.3">
      <c r="A8">
        <v>0</v>
      </c>
      <c r="B8">
        <v>0</v>
      </c>
      <c r="C8">
        <v>1</v>
      </c>
      <c r="D8">
        <v>-2</v>
      </c>
      <c r="E8">
        <v>1</v>
      </c>
      <c r="F8">
        <v>0</v>
      </c>
      <c r="G8">
        <v>0</v>
      </c>
      <c r="H8">
        <v>0</v>
      </c>
      <c r="I8">
        <v>0</v>
      </c>
      <c r="J8">
        <f t="shared" si="0"/>
        <v>-0.25</v>
      </c>
      <c r="L8">
        <v>2000</v>
      </c>
      <c r="M8">
        <v>-0.6</v>
      </c>
      <c r="N8">
        <v>-1.2</v>
      </c>
      <c r="O8">
        <v>-1.8</v>
      </c>
      <c r="P8">
        <v>-2.4000000000000004</v>
      </c>
      <c r="Q8">
        <v>-2.0000000000000004</v>
      </c>
      <c r="R8">
        <v>-1.6000000000000003</v>
      </c>
      <c r="S8">
        <v>-1.2</v>
      </c>
      <c r="T8">
        <v>-0.80000000000000016</v>
      </c>
      <c r="U8">
        <v>-0.40000000000000008</v>
      </c>
      <c r="V8">
        <v>3</v>
      </c>
    </row>
    <row r="9" spans="1:22" x14ac:dyDescent="0.3">
      <c r="A9">
        <v>0</v>
      </c>
      <c r="B9">
        <v>0</v>
      </c>
      <c r="C9">
        <v>0</v>
      </c>
      <c r="D9">
        <v>1</v>
      </c>
      <c r="E9">
        <v>-2</v>
      </c>
      <c r="F9">
        <v>1</v>
      </c>
      <c r="G9">
        <v>0</v>
      </c>
      <c r="H9">
        <v>0</v>
      </c>
      <c r="I9">
        <v>0</v>
      </c>
      <c r="J9">
        <f t="shared" si="0"/>
        <v>-0.25</v>
      </c>
      <c r="L9">
        <v>2500</v>
      </c>
      <c r="M9">
        <v>-0.50000000000000011</v>
      </c>
      <c r="N9">
        <v>-1.0000000000000002</v>
      </c>
      <c r="O9">
        <v>-1.5000000000000002</v>
      </c>
      <c r="P9">
        <v>-2.0000000000000004</v>
      </c>
      <c r="Q9">
        <v>-2.5000000000000004</v>
      </c>
      <c r="R9">
        <v>-2.0000000000000004</v>
      </c>
      <c r="S9">
        <v>-1.5</v>
      </c>
      <c r="T9">
        <v>-1.0000000000000002</v>
      </c>
      <c r="U9">
        <v>-0.50000000000000011</v>
      </c>
      <c r="V9">
        <v>3.1250000000000004</v>
      </c>
    </row>
    <row r="10" spans="1:22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-2</v>
      </c>
      <c r="G10">
        <v>1</v>
      </c>
      <c r="H10">
        <v>0</v>
      </c>
      <c r="I10">
        <v>0</v>
      </c>
      <c r="J10">
        <f t="shared" si="0"/>
        <v>-0.25</v>
      </c>
      <c r="L10">
        <v>3000</v>
      </c>
      <c r="M10">
        <v>-0.40000000000000008</v>
      </c>
      <c r="N10">
        <v>-0.80000000000000016</v>
      </c>
      <c r="O10">
        <v>-1.2000000000000002</v>
      </c>
      <c r="P10">
        <v>-1.6000000000000003</v>
      </c>
      <c r="Q10">
        <v>-2.0000000000000004</v>
      </c>
      <c r="R10">
        <v>-2.4000000000000004</v>
      </c>
      <c r="S10">
        <v>-1.7999999999999998</v>
      </c>
      <c r="T10">
        <v>-1.2000000000000002</v>
      </c>
      <c r="U10">
        <v>-0.60000000000000009</v>
      </c>
      <c r="V10">
        <v>3.0000000000000004</v>
      </c>
    </row>
    <row r="11" spans="1:22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-2</v>
      </c>
      <c r="H11">
        <v>1</v>
      </c>
      <c r="I11">
        <v>0</v>
      </c>
      <c r="J11">
        <f t="shared" si="0"/>
        <v>-0.25</v>
      </c>
      <c r="L11">
        <v>3500</v>
      </c>
      <c r="M11">
        <v>-0.30000000000000004</v>
      </c>
      <c r="N11">
        <v>-0.60000000000000009</v>
      </c>
      <c r="O11">
        <v>-0.90000000000000013</v>
      </c>
      <c r="P11">
        <v>-1.2000000000000002</v>
      </c>
      <c r="Q11">
        <v>-1.5000000000000002</v>
      </c>
      <c r="R11">
        <v>-1.8000000000000003</v>
      </c>
      <c r="S11">
        <v>-2.0999999999999996</v>
      </c>
      <c r="T11">
        <v>-1.4</v>
      </c>
      <c r="U11">
        <v>-0.7</v>
      </c>
      <c r="V11">
        <v>2.625</v>
      </c>
    </row>
    <row r="12" spans="1:22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-2</v>
      </c>
      <c r="I12">
        <v>1</v>
      </c>
      <c r="J12">
        <f t="shared" si="0"/>
        <v>-0.25</v>
      </c>
      <c r="L12">
        <v>4000</v>
      </c>
      <c r="M12">
        <v>-0.19999999999999998</v>
      </c>
      <c r="N12">
        <v>-0.39999999999999997</v>
      </c>
      <c r="O12">
        <v>-0.60000000000000009</v>
      </c>
      <c r="P12">
        <v>-0.80000000000000016</v>
      </c>
      <c r="Q12">
        <v>-1</v>
      </c>
      <c r="R12">
        <v>-1.2000000000000002</v>
      </c>
      <c r="S12">
        <v>-1.3999999999999997</v>
      </c>
      <c r="T12">
        <v>-1.5999999999999999</v>
      </c>
      <c r="U12">
        <v>-0.79999999999999993</v>
      </c>
      <c r="V12">
        <v>2</v>
      </c>
    </row>
    <row r="13" spans="1:22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-2</v>
      </c>
      <c r="J13">
        <f t="shared" si="0"/>
        <v>-0.25</v>
      </c>
      <c r="L13">
        <v>4500</v>
      </c>
      <c r="M13">
        <v>-9.9999999999999992E-2</v>
      </c>
      <c r="N13">
        <v>-0.19999999999999998</v>
      </c>
      <c r="O13">
        <v>-0.3</v>
      </c>
      <c r="P13">
        <v>-0.40000000000000008</v>
      </c>
      <c r="Q13">
        <v>-0.5</v>
      </c>
      <c r="R13">
        <v>-0.6</v>
      </c>
      <c r="S13">
        <v>-0.69999999999999984</v>
      </c>
      <c r="T13">
        <v>-0.79999999999999993</v>
      </c>
      <c r="U13">
        <v>-0.89999999999999991</v>
      </c>
      <c r="V13">
        <v>1.125</v>
      </c>
    </row>
    <row r="16" spans="1:22" x14ac:dyDescent="0.3">
      <c r="A16" t="s">
        <v>5</v>
      </c>
      <c r="B16">
        <v>2E-3</v>
      </c>
    </row>
    <row r="17" spans="1:2" x14ac:dyDescent="0.3">
      <c r="A17" t="s">
        <v>6</v>
      </c>
      <c r="B17">
        <v>2000</v>
      </c>
    </row>
    <row r="18" spans="1:2" x14ac:dyDescent="0.3">
      <c r="A18" t="s">
        <v>7</v>
      </c>
      <c r="B18">
        <v>500</v>
      </c>
    </row>
  </sheetData>
  <mergeCells count="2">
    <mergeCell ref="A4:I4"/>
    <mergeCell ref="M4:U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Mehedi Hasan</cp:lastModifiedBy>
  <dcterms:created xsi:type="dcterms:W3CDTF">2024-10-19T14:21:56Z</dcterms:created>
  <dcterms:modified xsi:type="dcterms:W3CDTF">2024-10-19T14:37:12Z</dcterms:modified>
</cp:coreProperties>
</file>